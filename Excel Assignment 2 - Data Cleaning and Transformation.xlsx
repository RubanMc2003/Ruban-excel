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Ruban\Downloads\"/>
    </mc:Choice>
  </mc:AlternateContent>
  <xr:revisionPtr revIDLastSave="0" documentId="8_{EC3B6ADE-7E4C-4DCB-A0A9-EAB521DFB16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b 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</calcChain>
</file>

<file path=xl/sharedStrings.xml><?xml version="1.0" encoding="utf-8"?>
<sst xmlns="http://schemas.openxmlformats.org/spreadsheetml/2006/main" count="164" uniqueCount="120">
  <si>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</si>
  <si>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</si>
  <si>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</si>
  <si>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</si>
  <si>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</si>
  <si>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</si>
  <si>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</si>
  <si>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</si>
  <si>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</si>
  <si>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</si>
  <si>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</si>
  <si>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</si>
  <si>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</si>
  <si>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</si>
  <si>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</si>
  <si>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</si>
  <si>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</si>
  <si>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</si>
  <si>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</si>
  <si>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</si>
  <si>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</si>
  <si>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</si>
  <si>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Quantity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</si>
  <si>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</si>
  <si>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</si>
  <si>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</si>
  <si>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</si>
  <si>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</si>
  <si>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</si>
  <si>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</si>
  <si>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</si>
  <si>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</si>
  <si>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</si>
  <si>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</si>
  <si>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</si>
  <si>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</si>
  <si>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</si>
  <si>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</si>
  <si>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</si>
  <si>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</si>
  <si>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</si>
  <si>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</si>
  <si>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</si>
  <si>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</si>
  <si>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</si>
  <si>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</si>
  <si>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</si>
  <si>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</si>
  <si>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</si>
  <si>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</si>
  <si>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</si>
  <si>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</si>
  <si>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</si>
  <si>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</si>
  <si>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</si>
  <si>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</si>
  <si>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</si>
  <si>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</si>
  <si>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</si>
  <si>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</si>
  <si>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</si>
  <si>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</si>
  <si>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</si>
  <si>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</si>
  <si>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</si>
  <si>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</si>
  <si>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</si>
  <si>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</si>
  <si>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</si>
  <si>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</si>
  <si>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</si>
  <si>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</si>
  <si>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</si>
  <si>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</si>
  <si>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</si>
  <si>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</si>
  <si>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</si>
  <si>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</si>
  <si>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</si>
  <si>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</si>
  <si>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</si>
  <si>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</si>
  <si>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</si>
  <si>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</si>
  <si>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</si>
  <si>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</si>
  <si>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</si>
  <si>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</si>
  <si>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</si>
  <si>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</si>
  <si>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</si>
  <si>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</si>
  <si>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</si>
  <si>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</si>
  <si>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</si>
  <si>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</si>
  <si>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</si>
  <si>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</si>
  <si>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</si>
  <si>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</si>
  <si>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</si>
  <si>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</si>
  <si>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</si>
  <si>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</si>
  <si>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</si>
  <si>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</si>
  <si>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</si>
  <si>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</si>
  <si>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</si>
  <si>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</si>
  <si>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</si>
  <si>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</si>
  <si>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</si>
  <si>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</si>
  <si>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price($)</t>
  </si>
  <si>
    <t>category</t>
  </si>
  <si>
    <t>Unknown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</si>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</sst>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" fontId="0" fillId="0" borderId="0" xfId="0" applyNumberFormat="1"/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([$$-409]* #,##0.00_);_([$$-409]* \(#,##0.00\);_([$$-409]* &quot;-&quot;??_);_(@_)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F3D5C1-E145-4C6B-A21E-1291837DBE14}" name="Table1" displayName="Table1" ref="A1:I35" totalsRowShown="0" headerRowDxfId="10" dataDxfId="9">
  <autoFilter ref="A1:I35" xr:uid="{D6F3D5C1-E145-4C6B-A21E-1291837DBE14}"/>
  <tableColumns count="9">
    <tableColumn id="1" xr3:uid="{7547CE5C-6E94-4C5E-890F-047318611613}" name="Product ID" dataDxfId="8"/>
    <tableColumn id="9" xr3:uid="{2172080A-261B-43C4-A447-203568597B69}" name="Manufacturing date" dataDxfId="7">
      <calculatedColumnFormula>LEFT(A2,6)</calculatedColumnFormula>
    </tableColumn>
    <tableColumn id="8" xr3:uid="{6EC2202C-E49B-4342-B923-D3C60AF0FC8F}" name="Country code" dataDxfId="6">
      <calculatedColumnFormula>RIGHT(A2,2)</calculatedColumnFormula>
    </tableColumn>
    <tableColumn id="2" xr3:uid="{6CCB603A-EA5D-4759-A770-13F246C6BE17}" name="Product Name" dataDxfId="5"/>
    <tableColumn id="3" xr3:uid="{5F3856FF-4504-42C0-BA1B-6C20B2E423AD}" name="Brand Name" dataDxfId="4"/>
    <tableColumn id="10" xr3:uid="{36BE6C6F-6CF5-4F3B-9F7F-E79E54DC6E0E}" name="Product Brand" dataDxfId="3">
      <calculatedColumnFormula>CONCATENATE(D2," ",E2)</calculatedColumnFormula>
    </tableColumn>
    <tableColumn id="13" xr3:uid="{D35B5823-6BDE-48D1-A4D6-6C6482F443DB}" name="price($)" dataDxfId="2"/>
    <tableColumn id="5" xr3:uid="{064B51EC-FE06-4A2C-9FE4-E98EF75F8327}" name="Quantity" dataDxfId="1"/>
    <tableColumn id="7" xr3:uid="{7F88354C-BCAE-4966-A0B6-20FD9151EF95}" name="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4" workbookViewId="0">
      <selection activeCell="A20" sqref="A20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topLeftCell="C1" workbookViewId="0">
      <selection activeCell="J1" sqref="J1"/>
    </sheetView>
  </sheetViews>
  <sheetFormatPr defaultColWidth="12.6640625" defaultRowHeight="15" customHeight="1" x14ac:dyDescent="0.25"/>
  <cols>
    <col min="1" max="1" width="14.77734375" bestFit="1" customWidth="1"/>
    <col min="2" max="2" width="22.44140625" bestFit="1" customWidth="1"/>
    <col min="3" max="3" width="17.33203125" bestFit="1" customWidth="1"/>
    <col min="4" max="4" width="18" bestFit="1" customWidth="1"/>
    <col min="5" max="5" width="16.21875" bestFit="1" customWidth="1"/>
    <col min="6" max="6" width="18.44140625" bestFit="1" customWidth="1"/>
    <col min="7" max="7" width="12.6640625" style="13"/>
    <col min="10" max="10" width="12.6640625" customWidth="1"/>
  </cols>
  <sheetData>
    <row r="1" spans="1:10" ht="15.75" customHeight="1" x14ac:dyDescent="0.25">
      <c r="A1" s="7" t="s">
        <v>19</v>
      </c>
      <c r="B1" s="7" t="s">
        <v>117</v>
      </c>
      <c r="C1" s="7" t="s">
        <v>118</v>
      </c>
      <c r="D1" s="7" t="s">
        <v>20</v>
      </c>
      <c r="E1" s="7" t="s">
        <v>21</v>
      </c>
      <c r="F1" s="7" t="s">
        <v>119</v>
      </c>
      <c r="G1" s="10" t="s">
        <v>114</v>
      </c>
      <c r="H1" s="7" t="s">
        <v>22</v>
      </c>
      <c r="I1" s="7" t="s">
        <v>115</v>
      </c>
    </row>
    <row r="2" spans="1:10" ht="15.75" customHeight="1" x14ac:dyDescent="0.25">
      <c r="A2" s="5" t="s">
        <v>23</v>
      </c>
      <c r="B2" s="5" t="str">
        <f t="shared" ref="B2:B35" si="0">LEFT(A2,6)</f>
        <v>28-JAN</v>
      </c>
      <c r="C2" s="5" t="str">
        <f t="shared" ref="C2:C35" si="1">RIGHT(A2,2)</f>
        <v>US</v>
      </c>
      <c r="D2" s="5" t="s">
        <v>24</v>
      </c>
      <c r="E2" s="5" t="s">
        <v>25</v>
      </c>
      <c r="F2" s="5" t="str">
        <f t="shared" ref="F2:F35" si="2">CONCATENATE(D2," ",E2)</f>
        <v>laptop Dell</v>
      </c>
      <c r="G2" s="11">
        <v>1000</v>
      </c>
      <c r="H2" s="5">
        <v>30</v>
      </c>
      <c r="I2" s="5" t="s">
        <v>26</v>
      </c>
    </row>
    <row r="3" spans="1:10" ht="15.75" customHeight="1" x14ac:dyDescent="0.25">
      <c r="A3" s="8" t="s">
        <v>27</v>
      </c>
      <c r="B3" s="8" t="str">
        <f t="shared" si="0"/>
        <v>15-FEB</v>
      </c>
      <c r="C3" s="8" t="str">
        <f t="shared" si="1"/>
        <v>US</v>
      </c>
      <c r="D3" s="8" t="s">
        <v>28</v>
      </c>
      <c r="E3" s="8" t="s">
        <v>29</v>
      </c>
      <c r="F3" s="8" t="str">
        <f t="shared" si="2"/>
        <v>Sneakers Nike</v>
      </c>
      <c r="G3" s="12">
        <v>80</v>
      </c>
      <c r="H3" s="8">
        <v>15</v>
      </c>
      <c r="I3" s="5" t="s">
        <v>30</v>
      </c>
    </row>
    <row r="4" spans="1:10" ht="15.75" customHeight="1" x14ac:dyDescent="0.25">
      <c r="A4" s="5" t="s">
        <v>31</v>
      </c>
      <c r="B4" s="5" t="str">
        <f t="shared" si="0"/>
        <v>03-MAR</v>
      </c>
      <c r="C4" s="5" t="str">
        <f t="shared" si="1"/>
        <v>US</v>
      </c>
      <c r="D4" s="5" t="s">
        <v>32</v>
      </c>
      <c r="E4" s="5" t="s">
        <v>33</v>
      </c>
      <c r="F4" s="5" t="str">
        <f t="shared" si="2"/>
        <v>Coffee Maker Keurig</v>
      </c>
      <c r="G4" s="11">
        <v>130</v>
      </c>
      <c r="H4" s="5">
        <v>40</v>
      </c>
      <c r="I4" s="5" t="s">
        <v>34</v>
      </c>
    </row>
    <row r="5" spans="1:10" ht="15.75" customHeight="1" x14ac:dyDescent="0.25">
      <c r="A5" s="8" t="s">
        <v>35</v>
      </c>
      <c r="B5" s="8" t="str">
        <f t="shared" si="0"/>
        <v>11-APR</v>
      </c>
      <c r="C5" s="8" t="str">
        <f t="shared" si="1"/>
        <v>US</v>
      </c>
      <c r="D5" s="8" t="s">
        <v>36</v>
      </c>
      <c r="E5" s="8" t="s">
        <v>37</v>
      </c>
      <c r="F5" s="8" t="str">
        <f t="shared" si="2"/>
        <v>smartphone Samsung</v>
      </c>
      <c r="G5" s="12">
        <v>900</v>
      </c>
      <c r="H5" s="8">
        <v>25</v>
      </c>
      <c r="I5" s="5" t="s">
        <v>26</v>
      </c>
    </row>
    <row r="6" spans="1:10" ht="15.75" customHeight="1" x14ac:dyDescent="0.25">
      <c r="A6" s="5" t="s">
        <v>38</v>
      </c>
      <c r="B6" s="5" t="str">
        <f t="shared" si="0"/>
        <v>22-MAY</v>
      </c>
      <c r="C6" s="5" t="str">
        <f t="shared" si="1"/>
        <v>US</v>
      </c>
      <c r="D6" s="5" t="s">
        <v>39</v>
      </c>
      <c r="E6" s="5" t="s">
        <v>40</v>
      </c>
      <c r="F6" s="5" t="str">
        <f t="shared" si="2"/>
        <v>Backpack North Face</v>
      </c>
      <c r="G6" s="11">
        <v>70</v>
      </c>
      <c r="H6" s="5">
        <v>20</v>
      </c>
      <c r="I6" s="5" t="s">
        <v>116</v>
      </c>
    </row>
    <row r="7" spans="1:10" ht="15.75" customHeight="1" x14ac:dyDescent="0.25">
      <c r="A7" s="8" t="s">
        <v>41</v>
      </c>
      <c r="B7" s="8" t="str">
        <f t="shared" si="0"/>
        <v>07-JUN</v>
      </c>
      <c r="C7" s="8" t="str">
        <f t="shared" si="1"/>
        <v>UK</v>
      </c>
      <c r="D7" s="8" t="s">
        <v>42</v>
      </c>
      <c r="E7" s="8" t="s">
        <v>43</v>
      </c>
      <c r="F7" s="8" t="str">
        <f t="shared" si="2"/>
        <v>Headphones Sony</v>
      </c>
      <c r="G7" s="12">
        <v>309.35483870967744</v>
      </c>
      <c r="H7" s="8">
        <v>45</v>
      </c>
      <c r="I7" s="5" t="s">
        <v>44</v>
      </c>
    </row>
    <row r="8" spans="1:10" ht="15.75" customHeight="1" x14ac:dyDescent="0.25">
      <c r="A8" s="5" t="s">
        <v>45</v>
      </c>
      <c r="B8" s="5" t="str">
        <f t="shared" si="0"/>
        <v>19-JUL</v>
      </c>
      <c r="C8" s="5" t="str">
        <f t="shared" si="1"/>
        <v>UK</v>
      </c>
      <c r="D8" s="5" t="s">
        <v>46</v>
      </c>
      <c r="E8" s="5" t="s">
        <v>47</v>
      </c>
      <c r="F8" s="5" t="str">
        <f t="shared" si="2"/>
        <v>T-shirt Adidas</v>
      </c>
      <c r="G8" s="11">
        <v>30</v>
      </c>
      <c r="H8" s="5">
        <v>5</v>
      </c>
      <c r="I8" s="5" t="s">
        <v>30</v>
      </c>
    </row>
    <row r="9" spans="1:10" ht="15.75" customHeight="1" x14ac:dyDescent="0.25">
      <c r="A9" s="8" t="s">
        <v>48</v>
      </c>
      <c r="B9" s="8" t="str">
        <f t="shared" si="0"/>
        <v>23-AUG</v>
      </c>
      <c r="C9" s="8" t="str">
        <f t="shared" si="1"/>
        <v>UK</v>
      </c>
      <c r="D9" s="8" t="s">
        <v>49</v>
      </c>
      <c r="E9" s="8" t="s">
        <v>50</v>
      </c>
      <c r="F9" s="8" t="str">
        <f t="shared" si="2"/>
        <v>Blender Ninja</v>
      </c>
      <c r="G9" s="12">
        <v>90</v>
      </c>
      <c r="H9" s="8">
        <v>35</v>
      </c>
      <c r="I9" s="5" t="s">
        <v>34</v>
      </c>
    </row>
    <row r="10" spans="1:10" ht="15.75" customHeight="1" x14ac:dyDescent="0.25">
      <c r="A10" s="5" t="s">
        <v>51</v>
      </c>
      <c r="B10" s="5" t="str">
        <f t="shared" si="0"/>
        <v>05-SEP</v>
      </c>
      <c r="C10" s="5" t="str">
        <f t="shared" si="1"/>
        <v>UK</v>
      </c>
      <c r="D10" s="5" t="s">
        <v>52</v>
      </c>
      <c r="E10" s="5" t="s">
        <v>53</v>
      </c>
      <c r="F10" s="5" t="str">
        <f t="shared" si="2"/>
        <v>Tablet Apple</v>
      </c>
      <c r="G10" s="11">
        <v>500</v>
      </c>
      <c r="H10" s="5">
        <v>50</v>
      </c>
      <c r="I10" s="5" t="s">
        <v>26</v>
      </c>
    </row>
    <row r="11" spans="1:10" ht="15.75" customHeight="1" x14ac:dyDescent="0.25">
      <c r="A11" s="8" t="s">
        <v>54</v>
      </c>
      <c r="B11" s="8" t="str">
        <f t="shared" si="0"/>
        <v>14-OCT</v>
      </c>
      <c r="C11" s="8" t="str">
        <f t="shared" si="1"/>
        <v>UK</v>
      </c>
      <c r="D11" s="8" t="s">
        <v>55</v>
      </c>
      <c r="E11" s="8" t="s">
        <v>56</v>
      </c>
      <c r="F11" s="8" t="str">
        <f t="shared" si="2"/>
        <v>Hiking Boots Timberland</v>
      </c>
      <c r="G11" s="12">
        <v>130</v>
      </c>
      <c r="H11" s="8">
        <v>10</v>
      </c>
      <c r="I11" s="5" t="s">
        <v>57</v>
      </c>
    </row>
    <row r="12" spans="1:10" ht="15.75" customHeight="1" x14ac:dyDescent="0.25">
      <c r="A12" s="5" t="s">
        <v>58</v>
      </c>
      <c r="B12" s="5" t="str">
        <f t="shared" si="0"/>
        <v>17-JUN</v>
      </c>
      <c r="C12" s="5" t="str">
        <f t="shared" si="1"/>
        <v>IN</v>
      </c>
      <c r="D12" s="5" t="s">
        <v>59</v>
      </c>
      <c r="E12" s="5" t="s">
        <v>60</v>
      </c>
      <c r="F12" s="5" t="str">
        <f t="shared" si="2"/>
        <v>Laptop HP</v>
      </c>
      <c r="G12" s="11">
        <v>950</v>
      </c>
      <c r="H12" s="5">
        <v>25</v>
      </c>
      <c r="I12" s="5" t="s">
        <v>26</v>
      </c>
      <c r="J12" s="9"/>
    </row>
    <row r="13" spans="1:10" ht="15.75" customHeight="1" x14ac:dyDescent="0.25">
      <c r="A13" s="8" t="s">
        <v>61</v>
      </c>
      <c r="B13" s="8" t="str">
        <f t="shared" si="0"/>
        <v>25-NOV</v>
      </c>
      <c r="C13" s="8" t="str">
        <f t="shared" si="1"/>
        <v>AU</v>
      </c>
      <c r="D13" s="8" t="s">
        <v>28</v>
      </c>
      <c r="E13" s="8" t="s">
        <v>47</v>
      </c>
      <c r="F13" s="8" t="str">
        <f t="shared" si="2"/>
        <v>Sneakers Adidas</v>
      </c>
      <c r="G13" s="12">
        <v>90</v>
      </c>
      <c r="H13" s="8">
        <v>40</v>
      </c>
      <c r="I13" s="5" t="s">
        <v>116</v>
      </c>
    </row>
    <row r="14" spans="1:10" ht="15.75" customHeight="1" x14ac:dyDescent="0.25">
      <c r="A14" s="5" t="s">
        <v>62</v>
      </c>
      <c r="B14" s="5" t="str">
        <f t="shared" si="0"/>
        <v>08-DEC</v>
      </c>
      <c r="C14" s="5" t="str">
        <f t="shared" si="1"/>
        <v>DE</v>
      </c>
      <c r="D14" s="5" t="s">
        <v>32</v>
      </c>
      <c r="E14" s="5" t="s">
        <v>63</v>
      </c>
      <c r="F14" s="5" t="str">
        <f t="shared" si="2"/>
        <v>Coffee Maker Nespresso</v>
      </c>
      <c r="G14" s="11">
        <v>120</v>
      </c>
      <c r="H14" s="5">
        <v>35</v>
      </c>
      <c r="I14" s="5" t="s">
        <v>116</v>
      </c>
    </row>
    <row r="15" spans="1:10" ht="15.75" customHeight="1" x14ac:dyDescent="0.25">
      <c r="A15" s="8" t="s">
        <v>64</v>
      </c>
      <c r="B15" s="8" t="str">
        <f t="shared" si="0"/>
        <v>18-FEB</v>
      </c>
      <c r="C15" s="8" t="str">
        <f t="shared" si="1"/>
        <v>CA</v>
      </c>
      <c r="D15" s="8" t="s">
        <v>65</v>
      </c>
      <c r="E15" s="8" t="s">
        <v>66</v>
      </c>
      <c r="F15" s="8" t="str">
        <f t="shared" si="2"/>
        <v>Smartwatch Fitbit</v>
      </c>
      <c r="G15" s="12">
        <v>150</v>
      </c>
      <c r="H15" s="8">
        <v>15</v>
      </c>
      <c r="I15" s="5" t="s">
        <v>44</v>
      </c>
    </row>
    <row r="16" spans="1:10" ht="15.75" customHeight="1" x14ac:dyDescent="0.25">
      <c r="A16" s="5" t="s">
        <v>67</v>
      </c>
      <c r="B16" s="5" t="str">
        <f t="shared" si="0"/>
        <v>16-APR</v>
      </c>
      <c r="C16" s="5" t="str">
        <f t="shared" si="1"/>
        <v>ES</v>
      </c>
      <c r="D16" s="5" t="s">
        <v>68</v>
      </c>
      <c r="E16" s="5" t="s">
        <v>69</v>
      </c>
      <c r="F16" s="5" t="str">
        <f t="shared" si="2"/>
        <v>headphones Bose</v>
      </c>
      <c r="G16" s="11">
        <v>250</v>
      </c>
      <c r="H16" s="5">
        <v>20</v>
      </c>
      <c r="I16" s="5" t="s">
        <v>44</v>
      </c>
    </row>
    <row r="17" spans="1:10" ht="15.75" customHeight="1" x14ac:dyDescent="0.25">
      <c r="A17" s="8" t="s">
        <v>70</v>
      </c>
      <c r="B17" s="8" t="str">
        <f t="shared" si="0"/>
        <v>21-AUG</v>
      </c>
      <c r="C17" s="8" t="str">
        <f t="shared" si="1"/>
        <v>CA</v>
      </c>
      <c r="D17" s="8" t="s">
        <v>71</v>
      </c>
      <c r="E17" s="8" t="s">
        <v>72</v>
      </c>
      <c r="F17" s="8" t="str">
        <f t="shared" si="2"/>
        <v>Laptop Bag Samsonite</v>
      </c>
      <c r="G17" s="12">
        <v>50</v>
      </c>
      <c r="H17" s="8">
        <v>35</v>
      </c>
      <c r="I17" s="5" t="s">
        <v>73</v>
      </c>
    </row>
    <row r="18" spans="1:10" ht="15.75" customHeight="1" x14ac:dyDescent="0.25">
      <c r="A18" s="5" t="s">
        <v>74</v>
      </c>
      <c r="B18" s="5" t="str">
        <f t="shared" si="0"/>
        <v>20-AUG</v>
      </c>
      <c r="C18" s="5" t="str">
        <f t="shared" si="1"/>
        <v>CN</v>
      </c>
      <c r="D18" s="5" t="s">
        <v>65</v>
      </c>
      <c r="E18" s="5" t="s">
        <v>75</v>
      </c>
      <c r="F18" s="5" t="str">
        <f t="shared" si="2"/>
        <v>Smartwatch Huawei</v>
      </c>
      <c r="G18" s="11">
        <v>160</v>
      </c>
      <c r="H18" s="5">
        <v>15</v>
      </c>
      <c r="I18" s="5" t="s">
        <v>44</v>
      </c>
    </row>
    <row r="19" spans="1:10" ht="15.75" customHeight="1" x14ac:dyDescent="0.25">
      <c r="A19" s="8" t="s">
        <v>76</v>
      </c>
      <c r="B19" s="8" t="str">
        <f t="shared" si="0"/>
        <v>27-JAN</v>
      </c>
      <c r="C19" s="8" t="str">
        <f t="shared" si="1"/>
        <v>IT</v>
      </c>
      <c r="D19" s="8" t="s">
        <v>24</v>
      </c>
      <c r="E19" s="8" t="s">
        <v>77</v>
      </c>
      <c r="F19" s="8" t="str">
        <f t="shared" si="2"/>
        <v>laptop Asus</v>
      </c>
      <c r="G19" s="12">
        <v>980</v>
      </c>
      <c r="H19" s="8">
        <v>10</v>
      </c>
      <c r="I19" s="5" t="s">
        <v>26</v>
      </c>
    </row>
    <row r="20" spans="1:10" ht="15.75" customHeight="1" x14ac:dyDescent="0.25">
      <c r="A20" s="5" t="s">
        <v>78</v>
      </c>
      <c r="B20" s="5" t="str">
        <f t="shared" si="0"/>
        <v>01-MAR</v>
      </c>
      <c r="C20" s="5" t="str">
        <f t="shared" si="1"/>
        <v>UK</v>
      </c>
      <c r="D20" s="5" t="s">
        <v>79</v>
      </c>
      <c r="E20" s="5" t="s">
        <v>80</v>
      </c>
      <c r="F20" s="5" t="str">
        <f t="shared" si="2"/>
        <v>Sunglasses Oakley</v>
      </c>
      <c r="G20" s="11">
        <v>150</v>
      </c>
      <c r="H20" s="5">
        <v>15</v>
      </c>
      <c r="I20" s="5" t="s">
        <v>30</v>
      </c>
    </row>
    <row r="21" spans="1:10" ht="15.75" customHeight="1" x14ac:dyDescent="0.25">
      <c r="A21" s="8" t="s">
        <v>81</v>
      </c>
      <c r="B21" s="8" t="str">
        <f t="shared" si="0"/>
        <v>14-AUG</v>
      </c>
      <c r="C21" s="8" t="str">
        <f t="shared" si="1"/>
        <v>US</v>
      </c>
      <c r="D21" s="8" t="s">
        <v>82</v>
      </c>
      <c r="E21" s="8" t="s">
        <v>83</v>
      </c>
      <c r="F21" s="8" t="str">
        <f t="shared" si="2"/>
        <v>Camping Tent Coleman</v>
      </c>
      <c r="G21" s="12">
        <v>309.35483870967744</v>
      </c>
      <c r="H21" s="8">
        <v>10</v>
      </c>
      <c r="I21" s="5" t="s">
        <v>57</v>
      </c>
    </row>
    <row r="22" spans="1:10" ht="15.75" customHeight="1" x14ac:dyDescent="0.25">
      <c r="A22" s="5" t="s">
        <v>84</v>
      </c>
      <c r="B22" s="5" t="str">
        <f t="shared" si="0"/>
        <v>14-MAY</v>
      </c>
      <c r="C22" s="5" t="str">
        <f t="shared" si="1"/>
        <v>RU</v>
      </c>
      <c r="D22" s="5" t="s">
        <v>85</v>
      </c>
      <c r="E22" s="5" t="s">
        <v>86</v>
      </c>
      <c r="F22" s="5" t="str">
        <f t="shared" si="2"/>
        <v>Camera Nikon</v>
      </c>
      <c r="G22" s="11">
        <v>700</v>
      </c>
      <c r="H22" s="5">
        <v>50</v>
      </c>
      <c r="I22" s="5" t="s">
        <v>26</v>
      </c>
    </row>
    <row r="23" spans="1:10" ht="15.75" customHeight="1" x14ac:dyDescent="0.25">
      <c r="A23" s="8" t="s">
        <v>87</v>
      </c>
      <c r="B23" s="8" t="str">
        <f t="shared" si="0"/>
        <v>09-JAN</v>
      </c>
      <c r="C23" s="8" t="str">
        <f t="shared" si="1"/>
        <v>CA</v>
      </c>
      <c r="D23" s="8" t="s">
        <v>88</v>
      </c>
      <c r="E23" s="8" t="s">
        <v>89</v>
      </c>
      <c r="F23" s="8" t="str">
        <f t="shared" si="2"/>
        <v>Microwave Panasonic</v>
      </c>
      <c r="G23" s="12">
        <v>80</v>
      </c>
      <c r="H23" s="8">
        <v>20</v>
      </c>
      <c r="I23" s="5" t="s">
        <v>34</v>
      </c>
    </row>
    <row r="24" spans="1:10" ht="15.75" customHeight="1" x14ac:dyDescent="0.25">
      <c r="A24" s="5" t="s">
        <v>90</v>
      </c>
      <c r="B24" s="5" t="str">
        <f t="shared" si="0"/>
        <v>19-JUL</v>
      </c>
      <c r="C24" s="5" t="str">
        <f t="shared" si="1"/>
        <v>BR</v>
      </c>
      <c r="D24" s="5" t="s">
        <v>91</v>
      </c>
      <c r="E24" s="5" t="s">
        <v>92</v>
      </c>
      <c r="F24" s="5" t="str">
        <f t="shared" si="2"/>
        <v>Fitness Tracker Xiaomi</v>
      </c>
      <c r="G24" s="11">
        <v>150</v>
      </c>
      <c r="H24" s="5">
        <v>30</v>
      </c>
      <c r="I24" s="5" t="s">
        <v>116</v>
      </c>
    </row>
    <row r="25" spans="1:10" ht="15.75" customHeight="1" x14ac:dyDescent="0.25">
      <c r="A25" s="8" t="s">
        <v>70</v>
      </c>
      <c r="B25" s="8" t="str">
        <f t="shared" si="0"/>
        <v>21-AUG</v>
      </c>
      <c r="C25" s="8" t="str">
        <f t="shared" si="1"/>
        <v>CA</v>
      </c>
      <c r="D25" s="8" t="s">
        <v>71</v>
      </c>
      <c r="E25" s="8" t="s">
        <v>72</v>
      </c>
      <c r="F25" s="8" t="str">
        <f t="shared" si="2"/>
        <v>Laptop Bag Samsonite</v>
      </c>
      <c r="G25" s="12">
        <v>50</v>
      </c>
      <c r="H25" s="8">
        <v>35</v>
      </c>
      <c r="I25" s="5" t="s">
        <v>73</v>
      </c>
    </row>
    <row r="26" spans="1:10" ht="15.75" customHeight="1" x14ac:dyDescent="0.25">
      <c r="A26" s="5" t="s">
        <v>93</v>
      </c>
      <c r="B26" s="5" t="str">
        <f t="shared" si="0"/>
        <v>29-SEP</v>
      </c>
      <c r="C26" s="5" t="str">
        <f t="shared" si="1"/>
        <v>CA</v>
      </c>
      <c r="D26" s="5" t="s">
        <v>94</v>
      </c>
      <c r="E26" s="5" t="s">
        <v>95</v>
      </c>
      <c r="F26" s="5" t="str">
        <f t="shared" si="2"/>
        <v>Smartphone Google</v>
      </c>
      <c r="G26" s="11">
        <v>800</v>
      </c>
      <c r="H26" s="5">
        <v>45</v>
      </c>
      <c r="I26" s="5" t="s">
        <v>26</v>
      </c>
      <c r="J26" s="9"/>
    </row>
    <row r="27" spans="1:10" ht="15.75" customHeight="1" x14ac:dyDescent="0.25">
      <c r="A27" s="8" t="s">
        <v>96</v>
      </c>
      <c r="B27" s="8" t="str">
        <f t="shared" si="0"/>
        <v>03-JUN</v>
      </c>
      <c r="C27" s="8" t="str">
        <f t="shared" si="1"/>
        <v>CA</v>
      </c>
      <c r="D27" s="8" t="s">
        <v>79</v>
      </c>
      <c r="E27" s="8" t="s">
        <v>97</v>
      </c>
      <c r="F27" s="8" t="str">
        <f t="shared" si="2"/>
        <v>Sunglasses Ray-Ban</v>
      </c>
      <c r="G27" s="12">
        <v>309.35483870967744</v>
      </c>
      <c r="H27" s="8">
        <v>25</v>
      </c>
      <c r="I27" s="5" t="s">
        <v>30</v>
      </c>
    </row>
    <row r="28" spans="1:10" ht="15.75" customHeight="1" x14ac:dyDescent="0.25">
      <c r="A28" s="5" t="s">
        <v>98</v>
      </c>
      <c r="B28" s="5" t="str">
        <f t="shared" si="0"/>
        <v>11-JUL</v>
      </c>
      <c r="C28" s="5" t="str">
        <f t="shared" si="1"/>
        <v>CA</v>
      </c>
      <c r="D28" s="5" t="s">
        <v>49</v>
      </c>
      <c r="E28" s="5" t="s">
        <v>99</v>
      </c>
      <c r="F28" s="5" t="str">
        <f t="shared" si="2"/>
        <v>Blender Vitamix</v>
      </c>
      <c r="G28" s="11">
        <v>400</v>
      </c>
      <c r="H28" s="5">
        <v>40</v>
      </c>
      <c r="I28" s="5" t="s">
        <v>34</v>
      </c>
    </row>
    <row r="29" spans="1:10" ht="15.75" customHeight="1" x14ac:dyDescent="0.25">
      <c r="A29" s="8" t="s">
        <v>67</v>
      </c>
      <c r="B29" s="8" t="str">
        <f t="shared" si="0"/>
        <v>16-APR</v>
      </c>
      <c r="C29" s="8" t="str">
        <f t="shared" si="1"/>
        <v>ES</v>
      </c>
      <c r="D29" s="8" t="s">
        <v>68</v>
      </c>
      <c r="E29" s="8" t="s">
        <v>69</v>
      </c>
      <c r="F29" s="8" t="str">
        <f t="shared" si="2"/>
        <v>headphones Bose</v>
      </c>
      <c r="G29" s="12">
        <v>250</v>
      </c>
      <c r="H29" s="8">
        <v>20</v>
      </c>
      <c r="I29" s="5" t="s">
        <v>44</v>
      </c>
    </row>
    <row r="30" spans="1:10" ht="15.75" customHeight="1" x14ac:dyDescent="0.25">
      <c r="A30" s="5" t="s">
        <v>100</v>
      </c>
      <c r="B30" s="5" t="str">
        <f t="shared" si="0"/>
        <v>07-MAR</v>
      </c>
      <c r="C30" s="5" t="str">
        <f t="shared" si="1"/>
        <v>CA</v>
      </c>
      <c r="D30" s="5" t="s">
        <v>101</v>
      </c>
      <c r="E30" s="5" t="s">
        <v>102</v>
      </c>
      <c r="F30" s="5" t="str">
        <f t="shared" si="2"/>
        <v>Dress Zara</v>
      </c>
      <c r="G30" s="11">
        <v>60</v>
      </c>
      <c r="H30" s="5">
        <v>30</v>
      </c>
      <c r="I30" s="5" t="s">
        <v>30</v>
      </c>
    </row>
    <row r="31" spans="1:10" ht="15.75" customHeight="1" x14ac:dyDescent="0.25">
      <c r="A31" s="8" t="s">
        <v>103</v>
      </c>
      <c r="B31" s="8" t="str">
        <f t="shared" si="0"/>
        <v>13-APR</v>
      </c>
      <c r="C31" s="8" t="str">
        <f t="shared" si="1"/>
        <v>CA</v>
      </c>
      <c r="D31" s="8" t="s">
        <v>104</v>
      </c>
      <c r="E31" s="8" t="s">
        <v>105</v>
      </c>
      <c r="F31" s="8" t="str">
        <f t="shared" si="2"/>
        <v>Toaster Hamilton</v>
      </c>
      <c r="G31" s="12">
        <v>40</v>
      </c>
      <c r="H31" s="8">
        <v>10</v>
      </c>
      <c r="I31" s="5" t="s">
        <v>34</v>
      </c>
    </row>
    <row r="32" spans="1:10" ht="15.75" customHeight="1" x14ac:dyDescent="0.25">
      <c r="A32" s="5" t="s">
        <v>106</v>
      </c>
      <c r="B32" s="5" t="str">
        <f t="shared" si="0"/>
        <v>24-MAY</v>
      </c>
      <c r="C32" s="5" t="str">
        <f t="shared" si="1"/>
        <v>CA</v>
      </c>
      <c r="D32" s="5" t="s">
        <v>91</v>
      </c>
      <c r="E32" s="5" t="s">
        <v>107</v>
      </c>
      <c r="F32" s="5" t="str">
        <f t="shared" si="2"/>
        <v>Fitness Tracker Garmin</v>
      </c>
      <c r="G32" s="11">
        <v>130</v>
      </c>
      <c r="H32" s="5">
        <v>5</v>
      </c>
      <c r="I32" s="5" t="s">
        <v>26</v>
      </c>
      <c r="J32" s="9"/>
    </row>
    <row r="33" spans="1:9" ht="15.75" customHeight="1" x14ac:dyDescent="0.25">
      <c r="A33" s="8" t="s">
        <v>108</v>
      </c>
      <c r="B33" s="8" t="str">
        <f t="shared" si="0"/>
        <v>02-DEC</v>
      </c>
      <c r="C33" s="8" t="str">
        <f t="shared" si="1"/>
        <v>CA</v>
      </c>
      <c r="D33" s="8" t="s">
        <v>109</v>
      </c>
      <c r="E33" s="8" t="s">
        <v>110</v>
      </c>
      <c r="F33" s="8" t="str">
        <f t="shared" si="2"/>
        <v>Jeans Levi's</v>
      </c>
      <c r="G33" s="12">
        <v>50</v>
      </c>
      <c r="H33" s="8">
        <v>50</v>
      </c>
      <c r="I33" s="5" t="s">
        <v>30</v>
      </c>
    </row>
    <row r="34" spans="1:9" ht="15.75" customHeight="1" x14ac:dyDescent="0.25">
      <c r="A34" s="5" t="s">
        <v>58</v>
      </c>
      <c r="B34" s="5" t="str">
        <f t="shared" si="0"/>
        <v>17-JUN</v>
      </c>
      <c r="C34" s="5" t="str">
        <f t="shared" si="1"/>
        <v>IN</v>
      </c>
      <c r="D34" s="5" t="s">
        <v>59</v>
      </c>
      <c r="E34" s="5" t="s">
        <v>60</v>
      </c>
      <c r="F34" s="5" t="str">
        <f t="shared" si="2"/>
        <v>Laptop HP</v>
      </c>
      <c r="G34" s="11">
        <v>950</v>
      </c>
      <c r="H34" s="5">
        <v>25</v>
      </c>
      <c r="I34" s="5" t="s">
        <v>26</v>
      </c>
    </row>
    <row r="35" spans="1:9" ht="15.75" customHeight="1" x14ac:dyDescent="0.25">
      <c r="A35" s="8" t="s">
        <v>111</v>
      </c>
      <c r="B35" s="8" t="str">
        <f t="shared" si="0"/>
        <v>09-JUL</v>
      </c>
      <c r="C35" s="8" t="str">
        <f t="shared" si="1"/>
        <v>FR</v>
      </c>
      <c r="D35" s="8" t="s">
        <v>112</v>
      </c>
      <c r="E35" s="8" t="s">
        <v>113</v>
      </c>
      <c r="F35" s="8" t="str">
        <f t="shared" si="2"/>
        <v>Watch Casio</v>
      </c>
      <c r="G35" s="12">
        <v>100</v>
      </c>
      <c r="H35" s="8">
        <v>20</v>
      </c>
      <c r="I35" s="5" t="s">
        <v>73</v>
      </c>
    </row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8" type="noConversion"/>
  <conditionalFormatting sqref="B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{D1507EE2-A8D4-4E54-9C14-62AD4BC47D96}</x14:id>
        </ext>
      </extLst>
    </cfRule>
  </conditionalFormatting>
  <conditionalFormatting sqref="G1:G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{5F57F09C-D306-4AAD-97C4-24003C07E5B4}</x14:id>
        </ext>
      </extLst>
    </cfRule>
  </conditionalFormatting>
  <conditionalFormatting sqref="I2:I35">
    <cfRule type="containsText" dxfId="12" priority="2" operator="containsText" text="Electronics">
      <formula>NOT(ISERROR(SEARCH("Electronics",I2)))</formula>
    </cfRule>
  </conditionalFormatting>
  <conditionalFormatting sqref="I2:I35">
    <cfRule type="cellIs" dxfId="11" priority="1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507EE2-A8D4-4E54-9C14-62AD4BC47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</xm:sqref>
        </x14:conditionalFormatting>
        <x14:conditionalFormatting xmlns:xm="http://schemas.microsoft.com/office/excel/2006/main">
          <x14:cfRule type="dataBar" id="{5F57F09C-D306-4AAD-97C4-24003C07E5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E3EAFB-6F7C-4831-A576-6FEC5C3EBB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nb 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Ruban</dc:creator>
  <cp:lastModifiedBy>Ruban</cp:lastModifiedBy>
  <dcterms:created xsi:type="dcterms:W3CDTF">2025-08-27T14:29:00Z</dcterms:created>
  <dcterms:modified xsi:type="dcterms:W3CDTF">2025-08-27T14:29:00Z</dcterms:modified>
</cp:coreProperties>
</file>